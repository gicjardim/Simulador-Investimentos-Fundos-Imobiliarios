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28680" yWindow="-120" windowWidth="20640" windowHeight="11040"/>
  </bookViews>
  <sheets>
    <sheet name="Planilha2" sheetId="2" r:id="rId1"/>
    <sheet name="Planilha1" sheetId="3" r:id="rId2"/>
  </sheets>
  <definedNames>
    <definedName name="aporte">Planilha2!$D$15</definedName>
    <definedName name="patrimonio">Planilha2!$D$18</definedName>
    <definedName name="qtd_anos">Planilha2!$D$16</definedName>
    <definedName name="rendimento_carteira">Planilha2!$D$11</definedName>
    <definedName name="taxa">Planilha2!$D$17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2"/>
  <c r="D32" s="1"/>
  <c r="C35"/>
  <c r="A9" i="3"/>
  <c r="A10"/>
  <c r="A11"/>
  <c r="A12"/>
  <c r="A13"/>
  <c r="A14"/>
  <c r="A15"/>
  <c r="A16"/>
  <c r="A17"/>
  <c r="A18"/>
  <c r="A19"/>
  <c r="A20"/>
  <c r="A4"/>
  <c r="A5"/>
  <c r="A6"/>
  <c r="A7"/>
  <c r="A8"/>
  <c r="A3"/>
  <c r="C27" i="2"/>
  <c r="D30" s="1"/>
  <c r="D18"/>
  <c r="D19" s="1"/>
  <c r="D12"/>
  <c r="C22"/>
  <c r="D22" s="1"/>
  <c r="C23"/>
  <c r="D23" s="1"/>
  <c r="C24"/>
  <c r="D24" s="1"/>
  <c r="D33" l="1"/>
  <c r="D35"/>
  <c r="D31"/>
  <c r="D34"/>
  <c r="D36" l="1"/>
</calcChain>
</file>

<file path=xl/sharedStrings.xml><?xml version="1.0" encoding="utf-8"?>
<sst xmlns="http://schemas.openxmlformats.org/spreadsheetml/2006/main" count="67" uniqueCount="31">
  <si>
    <t>Quanto investir por mês?</t>
  </si>
  <si>
    <t>Por quantos anos devo investir?</t>
  </si>
  <si>
    <t>Taxa de rendimento mensal</t>
  </si>
  <si>
    <t>Qual o patrimônio acumulado terei?</t>
  </si>
  <si>
    <t>Qual valor dos dividendos mensais?</t>
  </si>
  <si>
    <t>Investimento Mensal</t>
  </si>
  <si>
    <t>Quanto em 2 anos?</t>
  </si>
  <si>
    <t>Quanto em 5 anos?</t>
  </si>
  <si>
    <t>Quanto em 10 anos?</t>
  </si>
  <si>
    <t>Cenários</t>
  </si>
  <si>
    <t>Dividendos</t>
  </si>
  <si>
    <t>Configurações</t>
  </si>
  <si>
    <t>Rendimento Carteira</t>
  </si>
  <si>
    <t>Salário</t>
  </si>
  <si>
    <t>Sugestão de Investimento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</si>
  <si>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</si>
  <si>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</si>
  <si>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</si>
  <si>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</si>
  <si>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</si>
  <si>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</si>
  <si>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</si>
  <si>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</si>
  <si>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</si>
  <si>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FOF's</t>
  </si>
  <si>
    <t>Desenvolvimento</t>
  </si>
  <si>
    <t>Hotelarias</t>
  </si>
  <si>
    <t>Moderado</t>
  </si>
  <si>
    <t>Agressivo</t>
  </si>
  <si>
    <t>Chave</t>
  </si>
  <si>
    <t>Tipo</t>
  </si>
</sst>
</file>

<file path=xl/styles.xml><?xml version="1.0" encoding="utf-8"?>
<styleSheet xmlns="http://schemas.openxmlformats.org/spreadsheetml/2006/main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1A8FA6"/>
        <bgColor indexed="64"/>
      </patternFill>
    </fill>
    <fill>
      <patternFill patternType="solid">
        <fgColor rgb="FFD04879"/>
        <bgColor indexed="64"/>
      </patternFill>
    </fill>
    <fill>
      <patternFill patternType="solid">
        <fgColor rgb="FF005696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164" fontId="0" fillId="0" borderId="0" xfId="0" applyNumberFormat="1"/>
    <xf numFmtId="0" fontId="2" fillId="0" borderId="0" xfId="0" applyFont="1"/>
    <xf numFmtId="43" fontId="0" fillId="0" borderId="0" xfId="0" applyNumberFormat="1"/>
    <xf numFmtId="164" fontId="5" fillId="0" borderId="3" xfId="1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0" fontId="5" fillId="0" borderId="3" xfId="0" applyNumberFormat="1" applyFont="1" applyBorder="1" applyAlignment="1">
      <alignment horizontal="center"/>
    </xf>
    <xf numFmtId="8" fontId="5" fillId="2" borderId="3" xfId="0" applyNumberFormat="1" applyFont="1" applyFill="1" applyBorder="1" applyAlignment="1">
      <alignment horizontal="center"/>
    </xf>
    <xf numFmtId="8" fontId="5" fillId="2" borderId="5" xfId="0" applyNumberFormat="1" applyFont="1" applyFill="1" applyBorder="1" applyAlignment="1">
      <alignment horizontal="center"/>
    </xf>
    <xf numFmtId="8" fontId="4" fillId="0" borderId="1" xfId="0" applyNumberFormat="1" applyFont="1" applyBorder="1" applyAlignment="1">
      <alignment horizontal="center"/>
    </xf>
    <xf numFmtId="8" fontId="4" fillId="0" borderId="3" xfId="0" applyNumberFormat="1" applyFont="1" applyBorder="1" applyAlignment="1">
      <alignment horizontal="center"/>
    </xf>
    <xf numFmtId="8" fontId="4" fillId="0" borderId="9" xfId="0" applyNumberFormat="1" applyFont="1" applyBorder="1" applyAlignment="1">
      <alignment horizontal="center"/>
    </xf>
    <xf numFmtId="164" fontId="4" fillId="3" borderId="5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left" indent="3"/>
    </xf>
    <xf numFmtId="0" fontId="4" fillId="0" borderId="4" xfId="0" applyFont="1" applyBorder="1" applyAlignment="1">
      <alignment horizontal="left" indent="3"/>
    </xf>
    <xf numFmtId="164" fontId="4" fillId="0" borderId="3" xfId="0" applyNumberFormat="1" applyFont="1" applyFill="1" applyBorder="1" applyAlignment="1">
      <alignment horizontal="center"/>
    </xf>
    <xf numFmtId="10" fontId="4" fillId="0" borderId="3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left" indent="3"/>
    </xf>
    <xf numFmtId="8" fontId="4" fillId="0" borderId="0" xfId="0" applyNumberFormat="1" applyFont="1" applyBorder="1" applyAlignment="1">
      <alignment horizontal="center"/>
    </xf>
    <xf numFmtId="8" fontId="5" fillId="2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8" fontId="5" fillId="0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9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4" borderId="0" xfId="0" applyFont="1" applyFill="1"/>
    <xf numFmtId="9" fontId="0" fillId="0" borderId="0" xfId="2" applyFont="1" applyAlignment="1">
      <alignment horizontal="center"/>
    </xf>
    <xf numFmtId="0" fontId="2" fillId="4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/>
    <xf numFmtId="9" fontId="0" fillId="0" borderId="12" xfId="2" applyFon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0" fontId="4" fillId="3" borderId="2" xfId="0" applyFont="1" applyFill="1" applyBorder="1" applyAlignment="1">
      <alignment horizontal="left" indent="3"/>
    </xf>
    <xf numFmtId="0" fontId="4" fillId="3" borderId="1" xfId="0" applyFont="1" applyFill="1" applyBorder="1" applyAlignment="1">
      <alignment horizontal="left" indent="3"/>
    </xf>
    <xf numFmtId="0" fontId="4" fillId="3" borderId="4" xfId="0" applyFont="1" applyFill="1" applyBorder="1" applyAlignment="1">
      <alignment horizontal="left" indent="3"/>
    </xf>
    <xf numFmtId="0" fontId="4" fillId="3" borderId="9" xfId="0" applyFont="1" applyFill="1" applyBorder="1" applyAlignment="1">
      <alignment horizontal="left" indent="3"/>
    </xf>
    <xf numFmtId="0" fontId="4" fillId="0" borderId="1" xfId="0" applyFont="1" applyBorder="1" applyAlignment="1">
      <alignment horizontal="left" indent="3"/>
    </xf>
    <xf numFmtId="0" fontId="5" fillId="2" borderId="1" xfId="0" applyFont="1" applyFill="1" applyBorder="1" applyAlignment="1">
      <alignment horizontal="left" indent="3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/>
    <xf numFmtId="0" fontId="6" fillId="6" borderId="0" xfId="0" applyFont="1" applyFill="1" applyBorder="1" applyAlignment="1">
      <alignment horizontal="left"/>
    </xf>
    <xf numFmtId="8" fontId="6" fillId="6" borderId="0" xfId="0" applyNumberFormat="1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0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5696"/>
      <color rgb="FFD04879"/>
      <color rgb="FF755315"/>
      <color rgb="FFF1DEA9"/>
      <color rgb="FF1A8F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11"/>
  <c:chart>
    <c:autoTitleDeleted val="1"/>
    <c:plotArea>
      <c:layout/>
      <c:pie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cat>
            <c:strRef>
              <c:f>Planilha2!$B$30:$B$35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Planilha2!$C$30:$C$35</c:f>
              <c:numCache>
                <c:formatCode>0%</c:formatCode>
                <c:ptCount val="6"/>
                <c:pt idx="0">
                  <c:v>0.35</c:v>
                </c:pt>
                <c:pt idx="1">
                  <c:v>0.45</c:v>
                </c:pt>
                <c:pt idx="2">
                  <c:v>0.1</c:v>
                </c:pt>
                <c:pt idx="3">
                  <c:v>0.05</c:v>
                </c:pt>
                <c:pt idx="4">
                  <c:v>0.05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DF6-42BB-BA0D-DA68D43F6941}"/>
            </c:ext>
          </c:extLst>
        </c:ser>
        <c:dLbls/>
        <c:firstSliceAng val="0"/>
      </c:pieChart>
    </c:plotArea>
    <c:legend>
      <c:legendPos val="b"/>
      <c:layout/>
      <c:txPr>
        <a:bodyPr rot="0" vert="horz"/>
        <a:lstStyle/>
        <a:p>
          <a:pPr>
            <a:defRPr/>
          </a:pPr>
          <a:endParaRPr lang="pt-BR"/>
        </a:p>
      </c:txPr>
    </c:legend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207645</xdr:colOff>
      <xdr:row>0</xdr:row>
      <xdr:rowOff>57150</xdr:rowOff>
    </xdr:from>
    <xdr:to>
      <xdr:col>3</xdr:col>
      <xdr:colOff>1143000</xdr:colOff>
      <xdr:row>7</xdr:row>
      <xdr:rowOff>57150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xmlns="" id="{1CF158A8-9EB2-49B3-8EC4-AD0EF165FF77}"/>
            </a:ext>
          </a:extLst>
        </xdr:cNvPr>
        <xdr:cNvSpPr/>
      </xdr:nvSpPr>
      <xdr:spPr>
        <a:xfrm>
          <a:off x="220980" y="43815"/>
          <a:ext cx="5777865" cy="1266825"/>
        </a:xfrm>
        <a:prstGeom prst="roundRect">
          <a:avLst/>
        </a:prstGeom>
        <a:solidFill>
          <a:srgbClr val="D0487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1150619</xdr:colOff>
      <xdr:row>2</xdr:row>
      <xdr:rowOff>11430</xdr:rowOff>
    </xdr:from>
    <xdr:to>
      <xdr:col>2</xdr:col>
      <xdr:colOff>1259204</xdr:colOff>
      <xdr:row>5</xdr:row>
      <xdr:rowOff>123825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xmlns="" id="{682B3C14-F9BD-4CAE-9667-A6AC1C8C94DD}"/>
            </a:ext>
          </a:extLst>
        </xdr:cNvPr>
        <xdr:cNvSpPr txBox="1"/>
      </xdr:nvSpPr>
      <xdr:spPr>
        <a:xfrm>
          <a:off x="1445894" y="392430"/>
          <a:ext cx="3194685" cy="6838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4000">
              <a:solidFill>
                <a:schemeClr val="bg1"/>
              </a:solidFill>
              <a:latin typeface="Stencil" pitchFamily="82" charset="0"/>
            </a:rPr>
            <a:t>Gis &amp; Gains</a:t>
          </a:r>
          <a:endParaRPr lang="pt-BR" sz="4000">
            <a:solidFill>
              <a:schemeClr val="bg1"/>
            </a:solidFill>
            <a:latin typeface="Stencil" pitchFamily="82" charset="0"/>
          </a:endParaRPr>
        </a:p>
      </xdr:txBody>
    </xdr:sp>
    <xdr:clientData/>
  </xdr:twoCellAnchor>
  <xdr:twoCellAnchor>
    <xdr:from>
      <xdr:col>1</xdr:col>
      <xdr:colOff>621030</xdr:colOff>
      <xdr:row>257</xdr:row>
      <xdr:rowOff>5715</xdr:rowOff>
    </xdr:from>
    <xdr:to>
      <xdr:col>3</xdr:col>
      <xdr:colOff>104775</xdr:colOff>
      <xdr:row>273</xdr:row>
      <xdr:rowOff>49530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xmlns="" id="{116B24E1-F46F-4283-9D65-AE239EF51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91"/>
  <sheetViews>
    <sheetView showGridLines="0" tabSelected="1" workbookViewId="0">
      <selection activeCell="D257" sqref="D257"/>
    </sheetView>
  </sheetViews>
  <sheetFormatPr defaultColWidth="0" defaultRowHeight="15" zeroHeight="1"/>
  <cols>
    <col min="1" max="1" width="4.42578125" customWidth="1"/>
    <col min="2" max="2" width="46.28515625" customWidth="1"/>
    <col min="3" max="3" width="20.42578125" customWidth="1"/>
    <col min="4" max="4" width="17.7109375" customWidth="1"/>
    <col min="5" max="5" width="4.42578125" customWidth="1"/>
    <col min="6" max="6" width="8.28515625" hidden="1" customWidth="1"/>
    <col min="7" max="7" width="8.85546875" hidden="1" customWidth="1"/>
    <col min="8" max="8" width="11.28515625" hidden="1" customWidth="1"/>
    <col min="9" max="9" width="8.85546875" hidden="1" customWidth="1"/>
    <col min="10" max="13" width="0" hidden="1" customWidth="1"/>
    <col min="14" max="16384" width="8.85546875" hidden="1"/>
  </cols>
  <sheetData>
    <row r="1" spans="2:9">
      <c r="I1" s="1"/>
    </row>
    <row r="2" spans="2:9">
      <c r="I2" s="1"/>
    </row>
    <row r="3" spans="2:9">
      <c r="I3" s="1"/>
    </row>
    <row r="4" spans="2:9">
      <c r="I4" s="1"/>
    </row>
    <row r="5" spans="2:9">
      <c r="I5" s="1"/>
    </row>
    <row r="6" spans="2:9">
      <c r="I6" s="1"/>
    </row>
    <row r="7" spans="2:9">
      <c r="I7" s="1"/>
    </row>
    <row r="8" spans="2:9" ht="15.75" thickBot="1">
      <c r="I8" s="1"/>
    </row>
    <row r="9" spans="2:9" ht="21" customHeight="1">
      <c r="B9" s="40" t="s">
        <v>11</v>
      </c>
      <c r="C9" s="41"/>
      <c r="D9" s="42"/>
      <c r="I9" s="1"/>
    </row>
    <row r="10" spans="2:9" ht="15.75">
      <c r="B10" s="34" t="s">
        <v>13</v>
      </c>
      <c r="C10" s="35"/>
      <c r="D10" s="15">
        <v>2000</v>
      </c>
      <c r="I10" s="1"/>
    </row>
    <row r="11" spans="2:9" ht="15.75">
      <c r="B11" s="34" t="s">
        <v>12</v>
      </c>
      <c r="C11" s="35"/>
      <c r="D11" s="16">
        <v>6.0000000000000001E-3</v>
      </c>
      <c r="I11" s="1"/>
    </row>
    <row r="12" spans="2:9" ht="16.5" thickBot="1">
      <c r="B12" s="36" t="s">
        <v>14</v>
      </c>
      <c r="C12" s="37"/>
      <c r="D12" s="12">
        <f>D10*30%</f>
        <v>600</v>
      </c>
      <c r="I12" s="1"/>
    </row>
    <row r="13" spans="2:9">
      <c r="I13" s="1"/>
    </row>
    <row r="14" spans="2:9" ht="21" customHeight="1">
      <c r="B14" s="45" t="s">
        <v>5</v>
      </c>
      <c r="C14" s="46"/>
      <c r="D14" s="47"/>
      <c r="H14" s="3"/>
      <c r="I14" s="1"/>
    </row>
    <row r="15" spans="2:9" ht="18" customHeight="1">
      <c r="B15" s="38" t="s">
        <v>0</v>
      </c>
      <c r="C15" s="38"/>
      <c r="D15" s="4">
        <v>200</v>
      </c>
      <c r="I15" s="1"/>
    </row>
    <row r="16" spans="2:9" ht="18" customHeight="1">
      <c r="B16" s="38" t="s">
        <v>1</v>
      </c>
      <c r="C16" s="38"/>
      <c r="D16" s="5">
        <v>10</v>
      </c>
      <c r="I16" s="1"/>
    </row>
    <row r="17" spans="1:9" ht="18" customHeight="1">
      <c r="B17" s="38" t="s">
        <v>2</v>
      </c>
      <c r="C17" s="38"/>
      <c r="D17" s="6">
        <v>1.0789999999999999E-2</v>
      </c>
      <c r="I17" s="1"/>
    </row>
    <row r="18" spans="1:9" ht="18" customHeight="1">
      <c r="B18" s="39" t="s">
        <v>3</v>
      </c>
      <c r="C18" s="39"/>
      <c r="D18" s="7">
        <f>FV(taxa,(qtd_anos*12),-aporte)</f>
        <v>48656.842506034438</v>
      </c>
      <c r="I18" s="1"/>
    </row>
    <row r="19" spans="1:9" ht="18" customHeight="1" thickBot="1">
      <c r="B19" s="39" t="s">
        <v>4</v>
      </c>
      <c r="C19" s="39"/>
      <c r="D19" s="8">
        <f>patrimonio*D11</f>
        <v>291.94105503620665</v>
      </c>
      <c r="I19" s="1"/>
    </row>
    <row r="20" spans="1:9" ht="15.75" thickBot="1">
      <c r="I20" s="1"/>
    </row>
    <row r="21" spans="1:9" ht="21" customHeight="1">
      <c r="B21" s="48" t="s">
        <v>9</v>
      </c>
      <c r="C21" s="49"/>
      <c r="D21" s="50" t="s">
        <v>10</v>
      </c>
      <c r="I21" s="1"/>
    </row>
    <row r="22" spans="1:9" ht="15.75">
      <c r="A22" s="2">
        <v>2</v>
      </c>
      <c r="B22" s="13" t="s">
        <v>6</v>
      </c>
      <c r="C22" s="9">
        <f>FV($D$17,A22*12,-$D$15)</f>
        <v>5445.5254595290435</v>
      </c>
      <c r="D22" s="10">
        <f>C22*rendimento_carteira</f>
        <v>32.673152757174265</v>
      </c>
      <c r="I22" s="1"/>
    </row>
    <row r="23" spans="1:9" ht="15.75">
      <c r="A23" s="2">
        <v>5</v>
      </c>
      <c r="B23" s="13" t="s">
        <v>7</v>
      </c>
      <c r="C23" s="9">
        <f>FV($D$17,A23*12,-$D$15)</f>
        <v>16755.382799697527</v>
      </c>
      <c r="D23" s="10">
        <f>C23*rendimento_carteira</f>
        <v>100.53229679818516</v>
      </c>
      <c r="I23" s="1"/>
    </row>
    <row r="24" spans="1:9" ht="16.5" thickBot="1">
      <c r="A24" s="2">
        <v>10</v>
      </c>
      <c r="B24" s="14" t="s">
        <v>8</v>
      </c>
      <c r="C24" s="11">
        <f>FV($D$17,A24*12,-$D$15)</f>
        <v>48656.842506034438</v>
      </c>
      <c r="D24" s="10">
        <f>C24*rendimento_carteira</f>
        <v>291.94105503620665</v>
      </c>
      <c r="I24" s="1"/>
    </row>
    <row r="25" spans="1:9" ht="15.75">
      <c r="A25" s="2"/>
      <c r="B25" s="17"/>
      <c r="C25" s="18"/>
      <c r="D25" s="18"/>
      <c r="I25" s="1"/>
    </row>
    <row r="26" spans="1:9" ht="15.75">
      <c r="A26" s="2"/>
      <c r="B26" s="43" t="s">
        <v>15</v>
      </c>
      <c r="C26" s="44" t="s">
        <v>16</v>
      </c>
      <c r="D26" s="18"/>
      <c r="I26" s="1"/>
    </row>
    <row r="27" spans="1:9" ht="15.75">
      <c r="A27" s="2"/>
      <c r="B27" s="20" t="s">
        <v>17</v>
      </c>
      <c r="C27" s="19">
        <f>aporte</f>
        <v>200</v>
      </c>
      <c r="D27" s="18"/>
      <c r="I27" s="1"/>
    </row>
    <row r="28" spans="1:9" ht="15.75">
      <c r="A28" s="2"/>
      <c r="B28" s="21"/>
      <c r="C28" s="22"/>
      <c r="D28" s="18"/>
      <c r="I28" s="1"/>
    </row>
    <row r="29" spans="1:9" ht="15.75">
      <c r="A29" s="2"/>
      <c r="B29" s="23" t="s">
        <v>30</v>
      </c>
      <c r="C29" s="19" t="s">
        <v>19</v>
      </c>
      <c r="D29" s="19" t="s">
        <v>20</v>
      </c>
      <c r="I29" s="1"/>
    </row>
    <row r="30" spans="1:9" ht="15.75">
      <c r="A30" s="2"/>
      <c r="B30" s="25" t="s">
        <v>21</v>
      </c>
      <c r="C30" s="24">
        <v>0.35</v>
      </c>
      <c r="D30" s="18">
        <f>C30*$C$27</f>
        <v>70</v>
      </c>
      <c r="I30" s="1"/>
    </row>
    <row r="31" spans="1:9" ht="15.75">
      <c r="A31" s="2"/>
      <c r="B31" s="25" t="s">
        <v>22</v>
      </c>
      <c r="C31" s="24">
        <v>0.45</v>
      </c>
      <c r="D31" s="18">
        <f t="shared" ref="D31:D35" si="0">C31*$C$27</f>
        <v>90</v>
      </c>
      <c r="I31" s="1"/>
    </row>
    <row r="32" spans="1:9" ht="15.75">
      <c r="A32" s="2"/>
      <c r="B32" s="25" t="s">
        <v>23</v>
      </c>
      <c r="C32" s="24">
        <f>VLOOKUP($C$26&amp;"-"&amp;B32,Planilha1!A4:D22,4,0)</f>
        <v>0.1</v>
      </c>
      <c r="D32" s="18">
        <f t="shared" si="0"/>
        <v>20</v>
      </c>
      <c r="I32" s="1"/>
    </row>
    <row r="33" spans="1:9" ht="15.75">
      <c r="A33" s="2"/>
      <c r="B33" s="25" t="s">
        <v>24</v>
      </c>
      <c r="C33" s="24">
        <v>0.05</v>
      </c>
      <c r="D33" s="18">
        <f t="shared" si="0"/>
        <v>10</v>
      </c>
      <c r="I33" s="1"/>
    </row>
    <row r="34" spans="1:9" ht="15.75">
      <c r="A34" s="2"/>
      <c r="B34" s="25" t="s">
        <v>25</v>
      </c>
      <c r="C34" s="24">
        <v>0.05</v>
      </c>
      <c r="D34" s="18">
        <f t="shared" si="0"/>
        <v>10</v>
      </c>
      <c r="I34" s="1"/>
    </row>
    <row r="35" spans="1:9" ht="15.75">
      <c r="A35" s="2"/>
      <c r="B35" s="25" t="s">
        <v>26</v>
      </c>
      <c r="C35" s="24">
        <f>VLOOKUP($C$26&amp;"-"&amp;B35,Planilha1!A7:D25,4,0)</f>
        <v>0</v>
      </c>
      <c r="D35" s="18">
        <f t="shared" si="0"/>
        <v>0</v>
      </c>
      <c r="I35" s="1"/>
    </row>
    <row r="36" spans="1:9" ht="15.75">
      <c r="B36" s="23"/>
      <c r="C36" s="23"/>
      <c r="D36" s="19">
        <f>SUM(D30:D35)</f>
        <v>200</v>
      </c>
      <c r="I36" s="1"/>
    </row>
    <row r="37" spans="1:9" hidden="1">
      <c r="I37" s="1"/>
    </row>
    <row r="38" spans="1:9" hidden="1">
      <c r="I38" s="1"/>
    </row>
    <row r="39" spans="1:9" hidden="1">
      <c r="I39" s="1"/>
    </row>
    <row r="40" spans="1:9" hidden="1">
      <c r="I40" s="1"/>
    </row>
    <row r="41" spans="1:9" hidden="1">
      <c r="I41" s="1"/>
    </row>
    <row r="42" spans="1:9" hidden="1">
      <c r="I42" s="1"/>
    </row>
    <row r="43" spans="1:9" hidden="1">
      <c r="I43" s="1"/>
    </row>
    <row r="44" spans="1:9" hidden="1">
      <c r="I44" s="1"/>
    </row>
    <row r="45" spans="1:9" hidden="1">
      <c r="I45" s="1"/>
    </row>
    <row r="46" spans="1:9" hidden="1">
      <c r="I46" s="1"/>
    </row>
    <row r="47" spans="1:9" hidden="1">
      <c r="I47" s="1"/>
    </row>
    <row r="48" spans="1:9" hidden="1">
      <c r="I48" s="1"/>
    </row>
    <row r="49" spans="9:9" hidden="1">
      <c r="I49" s="1"/>
    </row>
    <row r="50" spans="9:9" hidden="1">
      <c r="I50" s="1"/>
    </row>
    <row r="51" spans="9:9" hidden="1">
      <c r="I51" s="1"/>
    </row>
    <row r="52" spans="9:9" hidden="1">
      <c r="I52" s="1"/>
    </row>
    <row r="53" spans="9:9" hidden="1">
      <c r="I53" s="1"/>
    </row>
    <row r="54" spans="9:9" hidden="1">
      <c r="I54" s="1"/>
    </row>
    <row r="55" spans="9:9" hidden="1">
      <c r="I55" s="1"/>
    </row>
    <row r="56" spans="9:9" hidden="1">
      <c r="I56" s="1"/>
    </row>
    <row r="57" spans="9:9" hidden="1">
      <c r="I57" s="1"/>
    </row>
    <row r="58" spans="9:9" hidden="1">
      <c r="I58" s="1"/>
    </row>
    <row r="59" spans="9:9" hidden="1">
      <c r="I59" s="1"/>
    </row>
    <row r="60" spans="9:9" hidden="1">
      <c r="I60" s="1"/>
    </row>
    <row r="61" spans="9:9" hidden="1">
      <c r="I61" s="1"/>
    </row>
    <row r="62" spans="9:9" hidden="1">
      <c r="I62" s="1"/>
    </row>
    <row r="63" spans="9:9" hidden="1">
      <c r="I63" s="1"/>
    </row>
    <row r="64" spans="9:9" hidden="1">
      <c r="I64" s="1"/>
    </row>
    <row r="65" spans="9:9" hidden="1">
      <c r="I65" s="1"/>
    </row>
    <row r="66" spans="9:9" hidden="1">
      <c r="I66" s="1"/>
    </row>
    <row r="67" spans="9:9" hidden="1">
      <c r="I67" s="1"/>
    </row>
    <row r="68" spans="9:9" hidden="1">
      <c r="I68" s="1"/>
    </row>
    <row r="69" spans="9:9" hidden="1">
      <c r="I69" s="1"/>
    </row>
    <row r="70" spans="9:9" hidden="1">
      <c r="I70" s="1"/>
    </row>
    <row r="71" spans="9:9" hidden="1">
      <c r="I71" s="1"/>
    </row>
    <row r="72" spans="9:9" hidden="1">
      <c r="I72" s="1"/>
    </row>
    <row r="73" spans="9:9" hidden="1">
      <c r="I73" s="1"/>
    </row>
    <row r="74" spans="9:9" hidden="1">
      <c r="I74" s="1"/>
    </row>
    <row r="75" spans="9:9" hidden="1">
      <c r="I75" s="1"/>
    </row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/>
    <row r="258"/>
    <row r="259"/>
    <row r="260"/>
    <row r="261"/>
    <row r="262"/>
    <row r="263" hidden="1"/>
    <row r="264" hidden="1"/>
    <row r="265" hidden="1"/>
    <row r="266"/>
    <row r="267" hidden="1"/>
    <row r="268"/>
    <row r="269"/>
    <row r="270"/>
    <row r="271"/>
    <row r="272"/>
    <row r="273"/>
    <row r="274"/>
    <row r="275" hidden="1"/>
    <row r="276" hidden="1"/>
    <row r="277" hidden="1"/>
    <row r="278" hidden="1"/>
    <row r="279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</sheetData>
  <mergeCells count="11">
    <mergeCell ref="B9:C9"/>
    <mergeCell ref="B10:C10"/>
    <mergeCell ref="B11:C11"/>
    <mergeCell ref="B12:C12"/>
    <mergeCell ref="B21:C21"/>
    <mergeCell ref="B14:D14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C26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D20"/>
  <sheetViews>
    <sheetView showGridLines="0" workbookViewId="0">
      <selection activeCell="F3" sqref="F3"/>
    </sheetView>
  </sheetViews>
  <sheetFormatPr defaultRowHeight="15"/>
  <cols>
    <col min="1" max="1" width="17.7109375" bestFit="1" customWidth="1"/>
    <col min="2" max="2" width="11.7109375" bestFit="1" customWidth="1"/>
    <col min="3" max="3" width="16.28515625" bestFit="1" customWidth="1"/>
    <col min="4" max="4" width="18.5703125" style="30" bestFit="1" customWidth="1"/>
  </cols>
  <sheetData>
    <row r="2" spans="1:4">
      <c r="A2" s="26" t="s">
        <v>29</v>
      </c>
      <c r="B2" s="26" t="s">
        <v>15</v>
      </c>
      <c r="C2" s="26" t="s">
        <v>18</v>
      </c>
      <c r="D2" s="28" t="s">
        <v>19</v>
      </c>
    </row>
    <row r="3" spans="1:4">
      <c r="A3" t="str">
        <f>B3&amp;"-"&amp;C3</f>
        <v>Conservador-Papel</v>
      </c>
      <c r="B3" t="s">
        <v>16</v>
      </c>
      <c r="C3" t="s">
        <v>21</v>
      </c>
      <c r="D3" s="27">
        <v>0.3</v>
      </c>
    </row>
    <row r="4" spans="1:4">
      <c r="A4" t="str">
        <f t="shared" ref="A4:A20" si="0">B4&amp;"-"&amp;C4</f>
        <v>Conservador-Tijolo</v>
      </c>
      <c r="B4" t="s">
        <v>16</v>
      </c>
      <c r="C4" t="s">
        <v>22</v>
      </c>
      <c r="D4" s="27">
        <v>0.5</v>
      </c>
    </row>
    <row r="5" spans="1:4">
      <c r="A5" t="str">
        <f t="shared" si="0"/>
        <v>Conservador-Híbridos</v>
      </c>
      <c r="B5" t="s">
        <v>16</v>
      </c>
      <c r="C5" t="s">
        <v>23</v>
      </c>
      <c r="D5" s="27">
        <v>0.1</v>
      </c>
    </row>
    <row r="6" spans="1:4">
      <c r="A6" t="str">
        <f t="shared" si="0"/>
        <v>Conservador-FOF's</v>
      </c>
      <c r="B6" t="s">
        <v>16</v>
      </c>
      <c r="C6" t="s">
        <v>24</v>
      </c>
      <c r="D6" s="27">
        <v>0.1</v>
      </c>
    </row>
    <row r="7" spans="1:4">
      <c r="A7" t="str">
        <f t="shared" si="0"/>
        <v>Conservador-Desenvolvimento</v>
      </c>
      <c r="B7" t="s">
        <v>16</v>
      </c>
      <c r="C7" t="s">
        <v>25</v>
      </c>
      <c r="D7" s="27">
        <v>0</v>
      </c>
    </row>
    <row r="8" spans="1:4">
      <c r="A8" s="31" t="str">
        <f t="shared" si="0"/>
        <v>Conservador-Hotelarias</v>
      </c>
      <c r="B8" s="31" t="s">
        <v>16</v>
      </c>
      <c r="C8" s="31" t="s">
        <v>26</v>
      </c>
      <c r="D8" s="32">
        <v>0</v>
      </c>
    </row>
    <row r="9" spans="1:4">
      <c r="A9" t="str">
        <f t="shared" si="0"/>
        <v>Moderado-Papel</v>
      </c>
      <c r="B9" t="s">
        <v>27</v>
      </c>
      <c r="C9" t="s">
        <v>21</v>
      </c>
      <c r="D9" s="29">
        <v>0.32</v>
      </c>
    </row>
    <row r="10" spans="1:4">
      <c r="A10" t="str">
        <f t="shared" si="0"/>
        <v>Moderado-Tijolo</v>
      </c>
      <c r="B10" t="s">
        <v>27</v>
      </c>
      <c r="C10" t="s">
        <v>22</v>
      </c>
      <c r="D10" s="29">
        <v>0.4</v>
      </c>
    </row>
    <row r="11" spans="1:4">
      <c r="A11" t="str">
        <f t="shared" si="0"/>
        <v>Moderado-Híbridos</v>
      </c>
      <c r="B11" t="s">
        <v>27</v>
      </c>
      <c r="C11" t="s">
        <v>23</v>
      </c>
      <c r="D11" s="29">
        <v>0.08</v>
      </c>
    </row>
    <row r="12" spans="1:4">
      <c r="A12" t="str">
        <f t="shared" si="0"/>
        <v>Moderado-FOF's</v>
      </c>
      <c r="B12" t="s">
        <v>27</v>
      </c>
      <c r="C12" t="s">
        <v>24</v>
      </c>
      <c r="D12" s="29">
        <v>0.1</v>
      </c>
    </row>
    <row r="13" spans="1:4">
      <c r="A13" t="str">
        <f t="shared" si="0"/>
        <v>Moderado-Desenvolvimento</v>
      </c>
      <c r="B13" t="s">
        <v>27</v>
      </c>
      <c r="C13" t="s">
        <v>25</v>
      </c>
      <c r="D13" s="29">
        <v>0.1</v>
      </c>
    </row>
    <row r="14" spans="1:4">
      <c r="A14" s="31" t="str">
        <f t="shared" si="0"/>
        <v>Moderado-Hotelarias</v>
      </c>
      <c r="B14" s="31" t="s">
        <v>27</v>
      </c>
      <c r="C14" s="31" t="s">
        <v>26</v>
      </c>
      <c r="D14" s="33">
        <v>0</v>
      </c>
    </row>
    <row r="15" spans="1:4">
      <c r="A15" t="str">
        <f t="shared" si="0"/>
        <v>Agressivo-Papel</v>
      </c>
      <c r="B15" t="s">
        <v>28</v>
      </c>
      <c r="C15" t="s">
        <v>21</v>
      </c>
      <c r="D15" s="29">
        <v>0.5</v>
      </c>
    </row>
    <row r="16" spans="1:4">
      <c r="A16" t="str">
        <f t="shared" si="0"/>
        <v>Agressivo-Tijolo</v>
      </c>
      <c r="B16" t="s">
        <v>28</v>
      </c>
      <c r="C16" t="s">
        <v>22</v>
      </c>
      <c r="D16" s="29">
        <v>0.1</v>
      </c>
    </row>
    <row r="17" spans="1:4">
      <c r="A17" t="str">
        <f t="shared" si="0"/>
        <v>Agressivo-Híbridos</v>
      </c>
      <c r="B17" t="s">
        <v>28</v>
      </c>
      <c r="C17" t="s">
        <v>23</v>
      </c>
      <c r="D17" s="29">
        <v>0.05</v>
      </c>
    </row>
    <row r="18" spans="1:4">
      <c r="A18" t="str">
        <f t="shared" si="0"/>
        <v>Agressivo-FOF's</v>
      </c>
      <c r="B18" t="s">
        <v>28</v>
      </c>
      <c r="C18" t="s">
        <v>24</v>
      </c>
      <c r="D18" s="29">
        <v>0.05</v>
      </c>
    </row>
    <row r="19" spans="1:4">
      <c r="A19" t="str">
        <f t="shared" si="0"/>
        <v>Agressivo-Desenvolvimento</v>
      </c>
      <c r="B19" t="s">
        <v>28</v>
      </c>
      <c r="C19" t="s">
        <v>25</v>
      </c>
      <c r="D19" s="29">
        <v>0.2</v>
      </c>
    </row>
    <row r="20" spans="1:4">
      <c r="A20" t="str">
        <f t="shared" si="0"/>
        <v>Agressivo-Hotelarias</v>
      </c>
      <c r="B20" t="s">
        <v>28</v>
      </c>
      <c r="C20" t="s">
        <v>26</v>
      </c>
      <c r="D20" s="2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Planilha2</vt:lpstr>
      <vt:lpstr>Planilha1</vt:lpstr>
      <vt:lpstr>aporte</vt:lpstr>
      <vt:lpstr>patrimonio</vt:lpstr>
      <vt:lpstr>qtd_anos</vt:lpstr>
      <vt:lpstr>rendimento_carteira</vt:lpstr>
      <vt:lpstr>taxa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Gouvea</dc:creator>
  <cp:lastModifiedBy>Gisele</cp:lastModifiedBy>
  <dcterms:created xsi:type="dcterms:W3CDTF">2025-05-28T14:07:37Z</dcterms:created>
  <dcterms:modified xsi:type="dcterms:W3CDTF">2026-02-05T04:05:48Z</dcterms:modified>
</cp:coreProperties>
</file>